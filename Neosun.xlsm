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dimok\OneDrive\Desktop\Neosun\"/>
    </mc:Choice>
  </mc:AlternateContent>
  <xr:revisionPtr revIDLastSave="0" documentId="13_ncr:1_{FD0DA1EC-C861-469F-81A2-224B93E8C22F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  <sheet name="Панели" sheetId="2" r:id="rId2"/>
    <sheet name="Инверторы" sheetId="3" r:id="rId3"/>
    <sheet name="Крепления" sheetId="4" r:id="rId4"/>
    <sheet name="Услуги" sheetId="5" r:id="rId5"/>
    <sheet name="Солнечный кабель" sheetId="6" r:id="rId6"/>
    <sheet name="Прочие цены" sheetId="8" r:id="rId7"/>
    <sheet name="Расчёт" sheetId="9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9" l="1"/>
  <c r="C4" i="9"/>
  <c r="O8" i="8" l="1"/>
  <c r="N8" i="8"/>
  <c r="O7" i="8"/>
  <c r="N7" i="8"/>
  <c r="O6" i="8"/>
  <c r="N6" i="8"/>
  <c r="O5" i="8"/>
  <c r="N5" i="8"/>
  <c r="O4" i="8"/>
  <c r="N4" i="8"/>
  <c r="H6" i="8"/>
  <c r="H7" i="8" l="1"/>
  <c r="G7" i="8"/>
  <c r="G6" i="8"/>
</calcChain>
</file>

<file path=xl/sharedStrings.xml><?xml version="1.0" encoding="utf-8"?>
<sst xmlns="http://schemas.openxmlformats.org/spreadsheetml/2006/main" count="321" uniqueCount="161">
  <si>
    <t>Тип модуля</t>
  </si>
  <si>
    <t>Солнечные элементы</t>
  </si>
  <si>
    <t xml:space="preserve">NEOSUN Ultra 660 Вт </t>
  </si>
  <si>
    <t xml:space="preserve">NEOSUN Ultra 550 Вт </t>
  </si>
  <si>
    <t xml:space="preserve">NEOSUN Ultra 545 Вт </t>
  </si>
  <si>
    <t xml:space="preserve">NEOSUN Ultra 540 Вт </t>
  </si>
  <si>
    <t xml:space="preserve">NEOSUN Ultra 460 Вт </t>
  </si>
  <si>
    <t xml:space="preserve">NEOSUN Ultra 450 Вт </t>
  </si>
  <si>
    <t xml:space="preserve">NEOSUN Ultra 375 Вт </t>
  </si>
  <si>
    <t xml:space="preserve">NEOSUN Ultra 370 Вт </t>
  </si>
  <si>
    <t>Двусторонние NEOSUN Duo 550 Вт</t>
  </si>
  <si>
    <t>Двусторонние NEOSUN Duo 540 Вт</t>
  </si>
  <si>
    <t>Моно М12, Half-cut, технологии PERC + 9BB</t>
  </si>
  <si>
    <t>Моно М8, Half-cut, технологии PERC + 9BB, 144 ячейки, Grade A</t>
  </si>
  <si>
    <t>Моно М6, Half-cut, технологии PERC + 9BB</t>
  </si>
  <si>
    <t>Моно М8, Half-cut, технологии PERC + 9BB</t>
  </si>
  <si>
    <t>Допуск мощности</t>
  </si>
  <si>
    <t>От 0 до +5 Вт</t>
  </si>
  <si>
    <t>КПД солнечного модуля</t>
  </si>
  <si>
    <t>21,25 % (23,4 % КПД ячеек)</t>
  </si>
  <si>
    <t>21,52 % (23,4 % КПД ячеек)</t>
  </si>
  <si>
    <t>21,32 % (23,4 % КПД ячеек)</t>
  </si>
  <si>
    <t>21,13 % (23,4 % КПД ячеек)</t>
  </si>
  <si>
    <t>20,82 % (23,2 % КПД ячеек)</t>
  </si>
  <si>
    <t>20,37 % (23,2 % КПД ячеек)</t>
  </si>
  <si>
    <t>20,27 % (23,4 % КПД ячеек)</t>
  </si>
  <si>
    <t>20,00 % (23,4 % КПД ячеек)</t>
  </si>
  <si>
    <t>Гарантия на брак</t>
  </si>
  <si>
    <t>12 лет</t>
  </si>
  <si>
    <t>Гарантия на мощность</t>
  </si>
  <si>
    <t>25 лет</t>
  </si>
  <si>
    <t>Тип инвертора</t>
  </si>
  <si>
    <t>GoodWe GW3000D-NS</t>
  </si>
  <si>
    <t>GoodWe GW5000D-NS</t>
  </si>
  <si>
    <t>GoodWe GW5000-DT</t>
  </si>
  <si>
    <t>GoodWe GW10KN-DT</t>
  </si>
  <si>
    <t>GoodWe GW15KN-DT</t>
  </si>
  <si>
    <t>GoodWe GW20KN-DT</t>
  </si>
  <si>
    <t>GoodWe GW25K-MT</t>
  </si>
  <si>
    <t>GoodWe GW30K-MT</t>
  </si>
  <si>
    <t>GoodWe GW36K-MT</t>
  </si>
  <si>
    <t>GoodWe GW50KN-MT</t>
  </si>
  <si>
    <t>GoodWe GW60KN-MT</t>
  </si>
  <si>
    <t>GoodWe GW80K-MT</t>
  </si>
  <si>
    <t>GoodWe GW100K-HT</t>
  </si>
  <si>
    <t>GoodWe GW120K-HT</t>
  </si>
  <si>
    <t>GoodWe GW136K-HTH</t>
  </si>
  <si>
    <t>GoodWe GW250K-HT</t>
  </si>
  <si>
    <t>Номинальное выходное напряжение</t>
  </si>
  <si>
    <t>220/230 В</t>
  </si>
  <si>
    <t>400, 3L/N/PE</t>
  </si>
  <si>
    <t>500, 3L/N/PE</t>
  </si>
  <si>
    <t>800, 3L/N/PE</t>
  </si>
  <si>
    <t>Диапазон рабочего напряжения</t>
  </si>
  <si>
    <t>80 – 550 В</t>
  </si>
  <si>
    <t>200 – 800 В</t>
  </si>
  <si>
    <t>200 – 850 В</t>
  </si>
  <si>
    <t>200 – 950 В</t>
  </si>
  <si>
    <t>200 – 1000 В</t>
  </si>
  <si>
    <t>180 – 1000 В</t>
  </si>
  <si>
    <t>Максимальная эффективность</t>
  </si>
  <si>
    <t>Количество / эффективность MPPT</t>
  </si>
  <si>
    <t>2 / 99,9 %</t>
  </si>
  <si>
    <t>3 / 99,9 %</t>
  </si>
  <si>
    <t>4 / 99,9 %</t>
  </si>
  <si>
    <t>10 / 99,9 %</t>
  </si>
  <si>
    <t>12 / 99,9 %</t>
  </si>
  <si>
    <t>Рабочая температура</t>
  </si>
  <si>
    <t xml:space="preserve"> -25°С … +60°С</t>
  </si>
  <si>
    <t xml:space="preserve"> -30°С … +60°С</t>
  </si>
  <si>
    <t>Гарантия на производственный брак</t>
  </si>
  <si>
    <t>5 лет</t>
  </si>
  <si>
    <t>Срок службы</t>
  </si>
  <si>
    <t>25+ лет</t>
  </si>
  <si>
    <t>Розничная цена в РФ</t>
  </si>
  <si>
    <t>Проектная цена в РФ (10-50 кВт)</t>
  </si>
  <si>
    <t>Проектная цена в РФ (50-200 кВт)</t>
  </si>
  <si>
    <t>Проектная цена в РФ (200кВт-1 МВт)</t>
  </si>
  <si>
    <t>Проектная цена в РФ (1-5 МВт)</t>
  </si>
  <si>
    <t>Цена для диллеров в РФ по паллетам</t>
  </si>
  <si>
    <t>Цена для диллеров в РФ от контейнера</t>
  </si>
  <si>
    <t>-</t>
  </si>
  <si>
    <t>Диллерская цена (от 1 млн. руб)</t>
  </si>
  <si>
    <t>Проектная цена (с НДС)</t>
  </si>
  <si>
    <t>Тип крепления</t>
  </si>
  <si>
    <t>Материал</t>
  </si>
  <si>
    <t>Проектная цена (10-50 кВт)</t>
  </si>
  <si>
    <t>Проектная цена (50-200 кВт)</t>
  </si>
  <si>
    <t>Проектная цена (более 200 кВт)</t>
  </si>
  <si>
    <t>Крепление для плоских поверхностей</t>
  </si>
  <si>
    <t>Крепление для наклонной крыши</t>
  </si>
  <si>
    <t>алюминий</t>
  </si>
  <si>
    <t>оцинковання сталь</t>
  </si>
  <si>
    <t>Тип услуги</t>
  </si>
  <si>
    <t>Условия</t>
  </si>
  <si>
    <t>Стоиомость (с НДС)</t>
  </si>
  <si>
    <t>Срок</t>
  </si>
  <si>
    <t>Комментарии</t>
  </si>
  <si>
    <t>Проектирование СЭС</t>
  </si>
  <si>
    <t>Строительно-монтажные работы</t>
  </si>
  <si>
    <t>Шеф-монтаж</t>
  </si>
  <si>
    <t>до 1 МВт</t>
  </si>
  <si>
    <t>до 200 кВт</t>
  </si>
  <si>
    <t>до 10 МВт</t>
  </si>
  <si>
    <t>50-60 кВт</t>
  </si>
  <si>
    <t>100-120 кВт</t>
  </si>
  <si>
    <t>200-240 кВт</t>
  </si>
  <si>
    <t>500 кВт</t>
  </si>
  <si>
    <t>3-4 недели</t>
  </si>
  <si>
    <t>1-2 месяца</t>
  </si>
  <si>
    <t>3-5 месяцев</t>
  </si>
  <si>
    <t>7-8 дней</t>
  </si>
  <si>
    <t>10-12 дней</t>
  </si>
  <si>
    <t>18-20 дней</t>
  </si>
  <si>
    <t>38-40 дней</t>
  </si>
  <si>
    <t>от 3-х дней</t>
  </si>
  <si>
    <t>Наименование</t>
  </si>
  <si>
    <t>Розничная цена</t>
  </si>
  <si>
    <t>Оптовая цена</t>
  </si>
  <si>
    <t>Кабель солнечный NEOSUN PV1-F</t>
  </si>
  <si>
    <t>лужённая медь</t>
  </si>
  <si>
    <t>Мощность модуля, Вт</t>
  </si>
  <si>
    <t>Мощность, Вт</t>
  </si>
  <si>
    <t>Максимальная входная мощность, Вт</t>
  </si>
  <si>
    <t>Сечение, мм2</t>
  </si>
  <si>
    <t>4 мм²</t>
  </si>
  <si>
    <t>6 мм²</t>
  </si>
  <si>
    <t>Коннекторы</t>
  </si>
  <si>
    <t>Проектирование</t>
  </si>
  <si>
    <t>Базовая цена</t>
  </si>
  <si>
    <t>Мощность</t>
  </si>
  <si>
    <t>Коэффициенты расчёта цены</t>
  </si>
  <si>
    <t>Нижний предел, Вт</t>
  </si>
  <si>
    <t>Верхний предел, Вт</t>
  </si>
  <si>
    <t>Нижняя граница, руб</t>
  </si>
  <si>
    <t>Верхняя граница, руб</t>
  </si>
  <si>
    <t>Скидка при работах на крыше</t>
  </si>
  <si>
    <t>до 100 кВт</t>
  </si>
  <si>
    <t>больше 100 кВт</t>
  </si>
  <si>
    <t>Цена дня</t>
  </si>
  <si>
    <t>Описание</t>
  </si>
  <si>
    <t>Минимальное пусковое напряжение - 120В;
Широкий диапазон напряжения (до 550В);
Степень защиты IP65 (влаго- и пыленепроницаемый);
Система удаленного мониторинга (RS485 / USB / Wi-fi);
Защита от перенапряжения, короткого замыкания, перегрузки и др.</t>
  </si>
  <si>
    <t>Трехфазный сетевой инвертор;
2 MPPТ с эффективностью до 99,9%;
Входное напряжение до 100В;
Степень защиты IP65 (влаго- и пыленепроницаемый);
Большой 5-дюймовый ЖК-дисплей;
Система удаленного мониторинга (RS485 / USB / Wi-fi);
Защита от перенапряжения, короткого замыкания, перегрузки и др.</t>
  </si>
  <si>
    <t>Трехфазный сетевой инвертор;
3 MPPТ с эффективностью до 99,9%;
Входное напряжение до 1100В;
Степень защиты IP65 (влаго- и пыленепроницаемый);
Большой 5-дюймовый ЖК-дисплей;
Система удаленного мониторинга (RS485 / USB / Wi-fi);
Защита от перенапряжения, короткого замыкания, перегрузки и др.</t>
  </si>
  <si>
    <t>Трехфазный сетевой инвертор;
Эффективность инвертора до 98,8%;
4 MPPТ с эффективностью до 99,9%;
Входное напряжение до 1500В;
Степень защиты IP65 (влаго- и пыленепроницаемый);
Многоязычный ЖК-дисплей;
Система удаленного мониторинга (RS485 / USB / Wi-fi);
Защита от перенапряжения, короткого замыкания, перегрузки и др.</t>
  </si>
  <si>
    <t>Трехфазный сетевой инвертор;
Эффективность инвертора до 98,8%;
12 MPPТ с эффективностью до 99,9%;
Входное напряжение до 1500В;
Степень защиты IP66 (влаго и пыленепроницаемый);
Многоязычный ЖК-дисплей;
Система удаленного мониторинга (RS485 / USB / Wi-fi);
Защита от перенапряжения, короткого замыкания, перегрузки и др.</t>
  </si>
  <si>
    <t>Треугольная система креплений повышенной устойчивости.</t>
  </si>
  <si>
    <t>Система креплений для наклонной крыши.</t>
  </si>
  <si>
    <t>Система креплений солнечных модулей для монтажа на земле, включая винтовые сваи длиной 1800 мм</t>
  </si>
  <si>
    <t>Солнечный кабель 4 мм² для соединения солнечных панелей и инверторов; MC4-коннекторы</t>
  </si>
  <si>
    <t>Техническая часть</t>
  </si>
  <si>
    <t>Коммерческая часть</t>
  </si>
  <si>
    <t>Мощность солнечных панелей</t>
  </si>
  <si>
    <t>Мощность инверторов</t>
  </si>
  <si>
    <t>Стоимость солнечных панелей</t>
  </si>
  <si>
    <t>Стоимость инверторов</t>
  </si>
  <si>
    <t>Длина солнечного кабеля</t>
  </si>
  <si>
    <t>Стоимость солнечного кабеля</t>
  </si>
  <si>
    <t>Стоимость коннекторов</t>
  </si>
  <si>
    <t>ИТОГО</t>
  </si>
  <si>
    <t>Крепление для монтажа на земле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</si>
</sst>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0.0%"/>
    <numFmt numFmtId="166" formatCode="#,##0.00\ &quot;₽&quot;"/>
    <numFmt numFmtId="167" formatCode="0.000000"/>
    <numFmt numFmtId="168" formatCode="0.00000000000000000"/>
    <numFmt numFmtId="169" formatCode="#,##0.000000\ &quot;₽&quot;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000000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62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66" fontId="1" fillId="0" borderId="0" xfId="0" quotePrefix="1" applyNumberFormat="1" applyFont="1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left" vertical="center"/>
    </xf>
    <xf numFmtId="2" fontId="1" fillId="0" borderId="0" xfId="0" applyNumberFormat="1" applyFont="1" applyAlignment="1">
      <alignment horizontal="center" vertical="center"/>
    </xf>
    <xf numFmtId="166" fontId="0" fillId="0" borderId="0" xfId="0" applyNumberFormat="1"/>
    <xf numFmtId="0" fontId="0" fillId="0" borderId="0" xfId="0" applyBorder="1" applyAlignment="1">
      <alignment horizontal="center" vertical="center"/>
    </xf>
    <xf numFmtId="0" fontId="0" fillId="0" borderId="5" xfId="0" applyBorder="1"/>
    <xf numFmtId="0" fontId="0" fillId="0" borderId="6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0" fontId="0" fillId="0" borderId="10" xfId="0" applyBorder="1"/>
    <xf numFmtId="166" fontId="0" fillId="0" borderId="11" xfId="0" applyNumberFormat="1" applyBorder="1"/>
    <xf numFmtId="168" fontId="0" fillId="0" borderId="0" xfId="0" applyNumberFormat="1"/>
    <xf numFmtId="2" fontId="0" fillId="0" borderId="4" xfId="0" applyNumberFormat="1" applyBorder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167" fontId="0" fillId="0" borderId="4" xfId="0" applyNumberFormat="1" applyBorder="1" applyAlignment="1">
      <alignment horizontal="center" vertical="center"/>
    </xf>
    <xf numFmtId="167" fontId="0" fillId="0" borderId="7" xfId="0" applyNumberFormat="1" applyBorder="1" applyAlignment="1">
      <alignment horizontal="center" vertical="center"/>
    </xf>
    <xf numFmtId="169" fontId="0" fillId="0" borderId="0" xfId="0" applyNumberFormat="1"/>
    <xf numFmtId="166" fontId="0" fillId="0" borderId="2" xfId="0" applyNumberFormat="1" applyBorder="1" applyAlignment="1">
      <alignment horizontal="center" vertical="center"/>
    </xf>
    <xf numFmtId="167" fontId="0" fillId="0" borderId="3" xfId="0" applyNumberFormat="1" applyBorder="1" applyAlignment="1">
      <alignment horizontal="center" vertical="center"/>
    </xf>
    <xf numFmtId="167" fontId="0" fillId="0" borderId="6" xfId="0" applyNumberFormat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167" fontId="0" fillId="0" borderId="0" xfId="0" applyNumberFormat="1" applyBorder="1" applyAlignment="1">
      <alignment horizontal="center" vertical="center"/>
    </xf>
    <xf numFmtId="1" fontId="0" fillId="0" borderId="0" xfId="0" applyNumberFormat="1"/>
    <xf numFmtId="167" fontId="0" fillId="0" borderId="5" xfId="0" applyNumberFormat="1" applyBorder="1" applyAlignment="1">
      <alignment horizontal="center" vertical="center"/>
    </xf>
    <xf numFmtId="166" fontId="0" fillId="0" borderId="7" xfId="0" applyNumberFormat="1" applyBorder="1"/>
    <xf numFmtId="0" fontId="0" fillId="0" borderId="12" xfId="0" applyBorder="1"/>
    <xf numFmtId="166" fontId="0" fillId="0" borderId="14" xfId="0" applyNumberFormat="1" applyBorder="1"/>
    <xf numFmtId="2" fontId="0" fillId="0" borderId="2" xfId="1" applyNumberFormat="1" applyFont="1" applyBorder="1" applyAlignment="1">
      <alignment horizontal="center" vertical="center"/>
    </xf>
    <xf numFmtId="2" fontId="0" fillId="0" borderId="3" xfId="1" applyNumberFormat="1" applyFont="1" applyBorder="1" applyAlignment="1">
      <alignment horizontal="center" vertical="center"/>
    </xf>
    <xf numFmtId="2" fontId="0" fillId="0" borderId="5" xfId="1" applyNumberFormat="1" applyFont="1" applyBorder="1" applyAlignment="1">
      <alignment horizontal="center" vertical="center"/>
    </xf>
    <xf numFmtId="2" fontId="0" fillId="0" borderId="6" xfId="1" applyNumberFormat="1" applyFont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66" fontId="0" fillId="0" borderId="7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0" fillId="0" borderId="17" xfId="0" applyNumberFormat="1" applyBorder="1" applyAlignment="1">
      <alignment horizontal="center" vertical="center" wrapText="1"/>
    </xf>
    <xf numFmtId="166" fontId="0" fillId="0" borderId="1" xfId="0" applyNumberFormat="1" applyBorder="1" applyAlignment="1">
      <alignment horizontal="center" vertical="center" wrapText="1"/>
    </xf>
    <xf numFmtId="166" fontId="0" fillId="0" borderId="18" xfId="0" applyNumberFormat="1" applyBorder="1" applyAlignment="1">
      <alignment horizontal="center" vertical="center" wrapText="1"/>
    </xf>
    <xf numFmtId="166" fontId="0" fillId="0" borderId="19" xfId="0" applyNumberFormat="1" applyBorder="1" applyAlignment="1">
      <alignment horizontal="center" vertical="center" wrapText="1"/>
    </xf>
    <xf numFmtId="166" fontId="0" fillId="0" borderId="12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166" fontId="0" fillId="0" borderId="10" xfId="0" applyNumberFormat="1" applyBorder="1" applyAlignment="1">
      <alignment horizontal="center" vertical="center"/>
    </xf>
    <xf numFmtId="166" fontId="0" fillId="0" borderId="15" xfId="0" applyNumberFormat="1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166" fontId="0" fillId="0" borderId="16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0" fillId="0" borderId="17" xfId="0" applyNumberFormat="1" applyBorder="1" applyAlignment="1">
      <alignment horizontal="center" vertical="center"/>
    </xf>
    <xf numFmtId="166" fontId="0" fillId="0" borderId="20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365760</xdr:colOff>
          <xdr:row>5</xdr:row>
          <xdr:rowOff>30480</xdr:rowOff>
        </xdr:from>
        <xdr:to>
          <xdr:col>5</xdr:col>
          <xdr:colOff>556260</xdr:colOff>
          <xdr:row>8</xdr:row>
          <xdr:rowOff>7620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"/>
  <sheetViews>
    <sheetView tabSelected="1" workbookViewId="0">
      <selection activeCell="E9" sqref="E9"/>
    </sheetView>
  </sheetViews>
  <sheetFormatPr defaultRowHeight="14.4" x14ac:dyDescent="0.3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3</xdr:col>
                <xdr:colOff>365760</xdr:colOff>
                <xdr:row>5</xdr:row>
                <xdr:rowOff>30480</xdr:rowOff>
              </from>
              <to>
                <xdr:col>5</xdr:col>
                <xdr:colOff>556260</xdr:colOff>
                <xdr:row>8</xdr:row>
                <xdr:rowOff>7620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Q17"/>
  <sheetViews>
    <sheetView workbookViewId="0">
      <selection activeCell="H23" sqref="H23"/>
    </sheetView>
  </sheetViews>
  <sheetFormatPr defaultColWidth="9.109375" defaultRowHeight="13.8" x14ac:dyDescent="0.3"/>
  <cols>
    <col min="1" max="1" width="28.88671875" style="1" bestFit="1" customWidth="1"/>
    <col min="2" max="2" width="19.88671875" style="1" bestFit="1" customWidth="1"/>
    <col min="3" max="3" width="18.6640625" style="1" bestFit="1" customWidth="1"/>
    <col min="4" max="4" width="15.5546875" style="1" bestFit="1" customWidth="1"/>
    <col min="5" max="5" width="22.6640625" style="1" bestFit="1" customWidth="1"/>
    <col min="6" max="6" width="15.33203125" style="1" bestFit="1" customWidth="1"/>
    <col min="7" max="7" width="19.6640625" style="1" bestFit="1" customWidth="1"/>
    <col min="8" max="8" width="18.109375" style="1" bestFit="1" customWidth="1"/>
    <col min="9" max="9" width="27.44140625" style="1" bestFit="1" customWidth="1"/>
    <col min="10" max="10" width="28.44140625" style="1" bestFit="1" customWidth="1"/>
    <col min="11" max="11" width="30.88671875" style="1" bestFit="1" customWidth="1"/>
    <col min="12" max="12" width="26.109375" style="1" bestFit="1" customWidth="1"/>
    <col min="13" max="13" width="31.88671875" style="1" bestFit="1" customWidth="1"/>
    <col min="14" max="14" width="33" style="1" bestFit="1" customWidth="1"/>
    <col min="15" max="16384" width="9.109375" style="1"/>
  </cols>
  <sheetData>
    <row r="1" spans="1:17" x14ac:dyDescent="0.3">
      <c r="A1" s="1" t="s">
        <v>0</v>
      </c>
      <c r="B1" s="1" t="s">
        <v>1</v>
      </c>
      <c r="C1" s="1" t="s">
        <v>121</v>
      </c>
      <c r="D1" s="1" t="s">
        <v>16</v>
      </c>
      <c r="E1" s="1" t="s">
        <v>18</v>
      </c>
      <c r="F1" s="1" t="s">
        <v>27</v>
      </c>
      <c r="G1" s="1" t="s">
        <v>29</v>
      </c>
      <c r="H1" s="1" t="s">
        <v>74</v>
      </c>
      <c r="I1" s="1" t="s">
        <v>75</v>
      </c>
      <c r="J1" s="1" t="s">
        <v>76</v>
      </c>
      <c r="K1" s="1" t="s">
        <v>77</v>
      </c>
      <c r="L1" s="1" t="s">
        <v>78</v>
      </c>
      <c r="M1" s="1" t="s">
        <v>79</v>
      </c>
      <c r="N1" s="1" t="s">
        <v>80</v>
      </c>
    </row>
    <row r="2" spans="1:17" ht="27.6" x14ac:dyDescent="0.3">
      <c r="A2" s="1" t="s">
        <v>2</v>
      </c>
      <c r="B2" s="2" t="s">
        <v>12</v>
      </c>
      <c r="C2" s="9">
        <v>660</v>
      </c>
      <c r="D2" s="1" t="s">
        <v>17</v>
      </c>
      <c r="E2" s="1" t="s">
        <v>19</v>
      </c>
      <c r="F2" s="1" t="s">
        <v>28</v>
      </c>
      <c r="G2" s="1" t="s">
        <v>30</v>
      </c>
      <c r="H2" s="5">
        <v>30200</v>
      </c>
      <c r="I2" s="5">
        <v>25820</v>
      </c>
      <c r="J2" s="5">
        <v>23240</v>
      </c>
      <c r="K2" s="5">
        <v>20910</v>
      </c>
      <c r="L2" s="5">
        <v>19790</v>
      </c>
      <c r="M2" s="5" t="s">
        <v>81</v>
      </c>
      <c r="N2" s="5">
        <v>19790</v>
      </c>
    </row>
    <row r="3" spans="1:17" ht="41.4" x14ac:dyDescent="0.3">
      <c r="A3" s="1" t="s">
        <v>3</v>
      </c>
      <c r="B3" s="2" t="s">
        <v>13</v>
      </c>
      <c r="C3" s="9">
        <v>550</v>
      </c>
      <c r="D3" s="1" t="s">
        <v>17</v>
      </c>
      <c r="E3" s="1" t="s">
        <v>20</v>
      </c>
      <c r="F3" s="1" t="s">
        <v>28</v>
      </c>
      <c r="G3" s="1" t="s">
        <v>30</v>
      </c>
      <c r="H3" s="5">
        <v>26300</v>
      </c>
      <c r="I3" s="5">
        <v>22470</v>
      </c>
      <c r="J3" s="5">
        <v>20220</v>
      </c>
      <c r="K3" s="5">
        <v>18230</v>
      </c>
      <c r="L3" s="5">
        <v>17190</v>
      </c>
      <c r="M3" s="5">
        <v>18230</v>
      </c>
      <c r="N3" s="5">
        <v>17190</v>
      </c>
    </row>
    <row r="4" spans="1:17" ht="41.4" x14ac:dyDescent="0.3">
      <c r="A4" s="1" t="s">
        <v>4</v>
      </c>
      <c r="B4" s="2" t="s">
        <v>13</v>
      </c>
      <c r="C4" s="9">
        <v>545</v>
      </c>
      <c r="D4" s="1" t="s">
        <v>17</v>
      </c>
      <c r="E4" s="1" t="s">
        <v>21</v>
      </c>
      <c r="F4" s="1" t="s">
        <v>28</v>
      </c>
      <c r="G4" s="1" t="s">
        <v>30</v>
      </c>
      <c r="H4" s="5">
        <v>25700</v>
      </c>
      <c r="I4" s="5">
        <v>22080</v>
      </c>
      <c r="J4" s="5">
        <v>19870</v>
      </c>
      <c r="K4" s="5">
        <v>17880</v>
      </c>
      <c r="L4" s="5">
        <v>16930</v>
      </c>
      <c r="M4" s="5" t="s">
        <v>81</v>
      </c>
      <c r="N4" s="5">
        <v>16930</v>
      </c>
    </row>
    <row r="5" spans="1:17" ht="41.4" x14ac:dyDescent="0.3">
      <c r="A5" s="1" t="s">
        <v>5</v>
      </c>
      <c r="B5" s="2" t="s">
        <v>13</v>
      </c>
      <c r="C5" s="9">
        <v>540</v>
      </c>
      <c r="D5" s="1" t="s">
        <v>17</v>
      </c>
      <c r="E5" s="1" t="s">
        <v>22</v>
      </c>
      <c r="F5" s="1" t="s">
        <v>28</v>
      </c>
      <c r="G5" s="1" t="s">
        <v>30</v>
      </c>
      <c r="H5" s="5">
        <v>25600</v>
      </c>
      <c r="I5" s="5">
        <v>21990</v>
      </c>
      <c r="J5" s="5">
        <v>19790</v>
      </c>
      <c r="K5" s="5">
        <v>17800</v>
      </c>
      <c r="L5" s="5">
        <v>16850</v>
      </c>
      <c r="M5" s="5">
        <v>17800</v>
      </c>
      <c r="N5" s="5">
        <v>16850</v>
      </c>
    </row>
    <row r="6" spans="1:17" ht="27.6" x14ac:dyDescent="0.3">
      <c r="A6" s="1" t="s">
        <v>6</v>
      </c>
      <c r="B6" s="2" t="s">
        <v>14</v>
      </c>
      <c r="C6" s="9">
        <v>460</v>
      </c>
      <c r="D6" s="1" t="s">
        <v>17</v>
      </c>
      <c r="E6" s="1" t="s">
        <v>23</v>
      </c>
      <c r="F6" s="1" t="s">
        <v>28</v>
      </c>
      <c r="G6" s="1" t="s">
        <v>30</v>
      </c>
      <c r="H6" s="5">
        <v>21600</v>
      </c>
      <c r="I6" s="5">
        <v>18530</v>
      </c>
      <c r="J6" s="5">
        <v>16680</v>
      </c>
      <c r="K6" s="5">
        <v>15030</v>
      </c>
      <c r="L6" s="5">
        <v>14260</v>
      </c>
      <c r="M6" s="5" t="s">
        <v>81</v>
      </c>
      <c r="N6" s="5">
        <v>14260</v>
      </c>
    </row>
    <row r="7" spans="1:17" ht="27.6" x14ac:dyDescent="0.3">
      <c r="A7" s="1" t="s">
        <v>7</v>
      </c>
      <c r="B7" s="2" t="s">
        <v>14</v>
      </c>
      <c r="C7" s="9">
        <v>450</v>
      </c>
      <c r="D7" s="1" t="s">
        <v>17</v>
      </c>
      <c r="E7" s="1" t="s">
        <v>24</v>
      </c>
      <c r="F7" s="1" t="s">
        <v>28</v>
      </c>
      <c r="G7" s="1" t="s">
        <v>30</v>
      </c>
      <c r="H7" s="5">
        <v>21300</v>
      </c>
      <c r="I7" s="5">
        <v>18240</v>
      </c>
      <c r="J7" s="5">
        <v>16420</v>
      </c>
      <c r="K7" s="5">
        <v>14770</v>
      </c>
      <c r="L7" s="5">
        <v>14000</v>
      </c>
      <c r="M7" s="5" t="s">
        <v>81</v>
      </c>
      <c r="N7" s="5">
        <v>14000</v>
      </c>
    </row>
    <row r="8" spans="1:17" ht="27.6" x14ac:dyDescent="0.3">
      <c r="A8" s="1" t="s">
        <v>8</v>
      </c>
      <c r="B8" s="2" t="s">
        <v>14</v>
      </c>
      <c r="C8" s="9">
        <v>375</v>
      </c>
      <c r="D8" s="1" t="s">
        <v>17</v>
      </c>
      <c r="E8" s="1" t="s">
        <v>25</v>
      </c>
      <c r="F8" s="1" t="s">
        <v>28</v>
      </c>
      <c r="G8" s="1" t="s">
        <v>30</v>
      </c>
      <c r="H8" s="5">
        <v>17600</v>
      </c>
      <c r="I8" s="5">
        <v>15170</v>
      </c>
      <c r="J8" s="5">
        <v>13650</v>
      </c>
      <c r="K8" s="5">
        <v>12270</v>
      </c>
      <c r="L8" s="5">
        <v>11580</v>
      </c>
      <c r="M8" s="5" t="s">
        <v>81</v>
      </c>
      <c r="N8" s="5">
        <v>11580</v>
      </c>
    </row>
    <row r="9" spans="1:17" ht="27.6" x14ac:dyDescent="0.3">
      <c r="A9" s="1" t="s">
        <v>9</v>
      </c>
      <c r="B9" s="2" t="s">
        <v>14</v>
      </c>
      <c r="C9" s="9">
        <v>370</v>
      </c>
      <c r="D9" s="1" t="s">
        <v>17</v>
      </c>
      <c r="E9" s="1" t="s">
        <v>26</v>
      </c>
      <c r="F9" s="1" t="s">
        <v>28</v>
      </c>
      <c r="G9" s="1" t="s">
        <v>30</v>
      </c>
      <c r="H9" s="5">
        <v>17600</v>
      </c>
      <c r="I9" s="5">
        <v>15070</v>
      </c>
      <c r="J9" s="5">
        <v>13560</v>
      </c>
      <c r="K9" s="5">
        <v>12270</v>
      </c>
      <c r="L9" s="5">
        <v>11580</v>
      </c>
      <c r="M9" s="5" t="s">
        <v>81</v>
      </c>
      <c r="N9" s="5">
        <v>11580</v>
      </c>
    </row>
    <row r="10" spans="1:17" ht="27.6" x14ac:dyDescent="0.3">
      <c r="A10" s="1" t="s">
        <v>10</v>
      </c>
      <c r="B10" s="2" t="s">
        <v>15</v>
      </c>
      <c r="C10" s="9">
        <v>550</v>
      </c>
      <c r="D10" s="1" t="s">
        <v>17</v>
      </c>
      <c r="E10" s="1" t="s">
        <v>20</v>
      </c>
      <c r="F10" s="1" t="s">
        <v>28</v>
      </c>
      <c r="G10" s="1" t="s">
        <v>30</v>
      </c>
      <c r="H10" s="5" t="s">
        <v>81</v>
      </c>
      <c r="I10" s="6" t="s">
        <v>81</v>
      </c>
      <c r="J10" s="5" t="s">
        <v>81</v>
      </c>
      <c r="K10" s="5">
        <v>18230</v>
      </c>
      <c r="L10" s="5">
        <v>17190</v>
      </c>
      <c r="M10" s="5" t="s">
        <v>81</v>
      </c>
      <c r="N10" s="5">
        <v>17190</v>
      </c>
    </row>
    <row r="11" spans="1:17" ht="27.6" x14ac:dyDescent="0.3">
      <c r="A11" s="1" t="s">
        <v>11</v>
      </c>
      <c r="B11" s="2" t="s">
        <v>15</v>
      </c>
      <c r="C11" s="9">
        <v>540</v>
      </c>
      <c r="D11" s="1" t="s">
        <v>17</v>
      </c>
      <c r="E11" s="1" t="s">
        <v>22</v>
      </c>
      <c r="F11" s="1" t="s">
        <v>28</v>
      </c>
      <c r="G11" s="1" t="s">
        <v>30</v>
      </c>
      <c r="H11" s="5" t="s">
        <v>81</v>
      </c>
      <c r="I11" s="5" t="s">
        <v>81</v>
      </c>
      <c r="J11" s="5" t="s">
        <v>81</v>
      </c>
      <c r="K11" s="5">
        <v>17970</v>
      </c>
      <c r="L11" s="5">
        <v>16930</v>
      </c>
      <c r="M11" s="5" t="s">
        <v>81</v>
      </c>
      <c r="N11" s="5">
        <v>16930</v>
      </c>
    </row>
    <row r="14" spans="1:17" x14ac:dyDescent="0.3">
      <c r="N14" s="3"/>
      <c r="O14" s="3"/>
      <c r="P14" s="3"/>
      <c r="Q14" s="3"/>
    </row>
    <row r="17" spans="1:1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M17"/>
  <sheetViews>
    <sheetView topLeftCell="F1" workbookViewId="0">
      <selection activeCell="L15" sqref="L15"/>
    </sheetView>
  </sheetViews>
  <sheetFormatPr defaultColWidth="9.109375" defaultRowHeight="13.8" x14ac:dyDescent="0.3"/>
  <cols>
    <col min="1" max="1" width="19" style="1" bestFit="1" customWidth="1"/>
    <col min="2" max="2" width="57.44140625" style="1" bestFit="1" customWidth="1"/>
    <col min="3" max="3" width="12" style="1" bestFit="1" customWidth="1"/>
    <col min="4" max="4" width="32.109375" style="1" bestFit="1" customWidth="1"/>
    <col min="5" max="5" width="31.44140625" style="1" bestFit="1" customWidth="1"/>
    <col min="6" max="6" width="27.6640625" style="1" bestFit="1" customWidth="1"/>
    <col min="7" max="7" width="26.109375" style="1" bestFit="1" customWidth="1"/>
    <col min="8" max="8" width="29" style="1" bestFit="1" customWidth="1"/>
    <col min="9" max="9" width="18.6640625" style="1" bestFit="1" customWidth="1"/>
    <col min="10" max="10" width="31.5546875" style="1" bestFit="1" customWidth="1"/>
    <col min="11" max="11" width="11.5546875" style="1" bestFit="1" customWidth="1"/>
    <col min="12" max="12" width="20.109375" style="1" bestFit="1" customWidth="1"/>
    <col min="13" max="13" width="27.5546875" style="1" bestFit="1" customWidth="1"/>
    <col min="14" max="14" width="17.33203125" style="1" bestFit="1" customWidth="1"/>
    <col min="15" max="16" width="17.88671875" style="1" bestFit="1" customWidth="1"/>
    <col min="17" max="17" width="19" style="1" bestFit="1" customWidth="1"/>
    <col min="18" max="18" width="17.88671875" style="1" bestFit="1" customWidth="1"/>
    <col min="19" max="16384" width="9.109375" style="1"/>
  </cols>
  <sheetData>
    <row r="1" spans="1:13" x14ac:dyDescent="0.3">
      <c r="A1" s="1" t="s">
        <v>31</v>
      </c>
      <c r="B1" s="1" t="s">
        <v>140</v>
      </c>
      <c r="C1" s="1" t="s">
        <v>122</v>
      </c>
      <c r="D1" s="1" t="s">
        <v>123</v>
      </c>
      <c r="E1" s="1" t="s">
        <v>48</v>
      </c>
      <c r="F1" s="1" t="s">
        <v>53</v>
      </c>
      <c r="G1" s="1" t="s">
        <v>60</v>
      </c>
      <c r="H1" s="1" t="s">
        <v>61</v>
      </c>
      <c r="I1" s="1" t="s">
        <v>67</v>
      </c>
      <c r="J1" s="1" t="s">
        <v>70</v>
      </c>
      <c r="K1" s="1" t="s">
        <v>72</v>
      </c>
      <c r="L1" s="1" t="s">
        <v>83</v>
      </c>
      <c r="M1" s="1" t="s">
        <v>82</v>
      </c>
    </row>
    <row r="2" spans="1:13" ht="69" x14ac:dyDescent="0.3">
      <c r="A2" s="1" t="s">
        <v>32</v>
      </c>
      <c r="B2" s="2" t="s">
        <v>141</v>
      </c>
      <c r="C2" s="9">
        <v>3000</v>
      </c>
      <c r="D2" s="9">
        <v>3600</v>
      </c>
      <c r="E2" s="1" t="s">
        <v>49</v>
      </c>
      <c r="F2" s="1" t="s">
        <v>54</v>
      </c>
      <c r="G2" s="3">
        <v>0.97799999999999998</v>
      </c>
      <c r="H2" s="1" t="s">
        <v>62</v>
      </c>
      <c r="I2" s="1" t="s">
        <v>68</v>
      </c>
      <c r="J2" s="1" t="s">
        <v>71</v>
      </c>
      <c r="K2" s="1" t="s">
        <v>73</v>
      </c>
      <c r="L2" s="5">
        <v>82000</v>
      </c>
      <c r="M2" s="5">
        <v>70000</v>
      </c>
    </row>
    <row r="3" spans="1:13" ht="69" x14ac:dyDescent="0.3">
      <c r="A3" s="1" t="s">
        <v>33</v>
      </c>
      <c r="B3" s="2" t="s">
        <v>141</v>
      </c>
      <c r="C3" s="9">
        <v>5000</v>
      </c>
      <c r="D3" s="9">
        <v>6500</v>
      </c>
      <c r="E3" s="1" t="s">
        <v>49</v>
      </c>
      <c r="F3" s="1" t="s">
        <v>54</v>
      </c>
      <c r="G3" s="3">
        <v>0.97799999999999998</v>
      </c>
      <c r="H3" s="1" t="s">
        <v>62</v>
      </c>
      <c r="I3" s="1" t="s">
        <v>68</v>
      </c>
      <c r="J3" s="1" t="s">
        <v>71</v>
      </c>
      <c r="K3" s="1" t="s">
        <v>73</v>
      </c>
      <c r="L3" s="5">
        <v>115000</v>
      </c>
      <c r="M3" s="5">
        <v>92000</v>
      </c>
    </row>
    <row r="4" spans="1:13" ht="96.6" x14ac:dyDescent="0.3">
      <c r="A4" s="1" t="s">
        <v>34</v>
      </c>
      <c r="B4" s="2" t="s">
        <v>142</v>
      </c>
      <c r="C4" s="9">
        <v>5000</v>
      </c>
      <c r="D4" s="9">
        <v>6500</v>
      </c>
      <c r="E4" s="1" t="s">
        <v>50</v>
      </c>
      <c r="F4" s="1" t="s">
        <v>55</v>
      </c>
      <c r="G4" s="3">
        <v>0.98</v>
      </c>
      <c r="H4" s="1" t="s">
        <v>62</v>
      </c>
      <c r="I4" s="1" t="s">
        <v>68</v>
      </c>
      <c r="J4" s="1" t="s">
        <v>71</v>
      </c>
      <c r="K4" s="1" t="s">
        <v>73</v>
      </c>
      <c r="L4" s="5">
        <v>118000</v>
      </c>
      <c r="M4" s="5">
        <v>95000</v>
      </c>
    </row>
    <row r="5" spans="1:13" ht="96.6" x14ac:dyDescent="0.3">
      <c r="A5" s="1" t="s">
        <v>35</v>
      </c>
      <c r="B5" s="2" t="s">
        <v>142</v>
      </c>
      <c r="C5" s="9">
        <v>10000</v>
      </c>
      <c r="D5" s="9">
        <v>12000</v>
      </c>
      <c r="E5" s="1" t="s">
        <v>50</v>
      </c>
      <c r="F5" s="1" t="s">
        <v>56</v>
      </c>
      <c r="G5" s="3">
        <v>0.98299999999999998</v>
      </c>
      <c r="H5" s="1" t="s">
        <v>62</v>
      </c>
      <c r="I5" s="1" t="s">
        <v>68</v>
      </c>
      <c r="J5" s="1" t="s">
        <v>71</v>
      </c>
      <c r="K5" s="1" t="s">
        <v>73</v>
      </c>
      <c r="L5" s="5">
        <v>190000</v>
      </c>
      <c r="M5" s="5">
        <v>156000</v>
      </c>
    </row>
    <row r="6" spans="1:13" ht="96.6" x14ac:dyDescent="0.3">
      <c r="A6" s="1" t="s">
        <v>36</v>
      </c>
      <c r="B6" s="2" t="s">
        <v>142</v>
      </c>
      <c r="C6" s="9">
        <v>15000</v>
      </c>
      <c r="D6" s="9">
        <v>19500</v>
      </c>
      <c r="E6" s="1" t="s">
        <v>50</v>
      </c>
      <c r="F6" s="1" t="s">
        <v>56</v>
      </c>
      <c r="G6" s="3">
        <v>0.98299999999999998</v>
      </c>
      <c r="H6" s="1" t="s">
        <v>62</v>
      </c>
      <c r="I6" s="1" t="s">
        <v>68</v>
      </c>
      <c r="J6" s="1" t="s">
        <v>71</v>
      </c>
      <c r="K6" s="1" t="s">
        <v>73</v>
      </c>
      <c r="L6" s="5">
        <v>210000</v>
      </c>
      <c r="M6" s="5">
        <v>174000</v>
      </c>
    </row>
    <row r="7" spans="1:13" ht="96.6" x14ac:dyDescent="0.3">
      <c r="A7" s="1" t="s">
        <v>37</v>
      </c>
      <c r="B7" s="2" t="s">
        <v>142</v>
      </c>
      <c r="C7" s="9">
        <v>20000</v>
      </c>
      <c r="D7" s="9">
        <v>26000</v>
      </c>
      <c r="E7" s="1" t="s">
        <v>50</v>
      </c>
      <c r="F7" s="1" t="s">
        <v>57</v>
      </c>
      <c r="G7" s="3">
        <v>0.98599999999999999</v>
      </c>
      <c r="H7" s="1" t="s">
        <v>62</v>
      </c>
      <c r="I7" s="1" t="s">
        <v>68</v>
      </c>
      <c r="J7" s="1" t="s">
        <v>71</v>
      </c>
      <c r="K7" s="1" t="s">
        <v>73</v>
      </c>
      <c r="L7" s="5">
        <v>240000</v>
      </c>
      <c r="M7" s="5">
        <v>198000</v>
      </c>
    </row>
    <row r="8" spans="1:13" ht="96.6" x14ac:dyDescent="0.3">
      <c r="A8" s="1" t="s">
        <v>38</v>
      </c>
      <c r="B8" s="2" t="s">
        <v>143</v>
      </c>
      <c r="C8" s="9">
        <v>25000</v>
      </c>
      <c r="D8" s="9">
        <v>32500</v>
      </c>
      <c r="E8" s="1" t="s">
        <v>50</v>
      </c>
      <c r="F8" s="1" t="s">
        <v>57</v>
      </c>
      <c r="G8" s="3">
        <v>0.98699999999999999</v>
      </c>
      <c r="H8" s="1" t="s">
        <v>63</v>
      </c>
      <c r="I8" s="1" t="s">
        <v>69</v>
      </c>
      <c r="J8" s="1" t="s">
        <v>71</v>
      </c>
      <c r="K8" s="1" t="s">
        <v>73</v>
      </c>
      <c r="L8" s="5">
        <v>320000</v>
      </c>
      <c r="M8" s="5">
        <v>260000</v>
      </c>
    </row>
    <row r="9" spans="1:13" ht="96.6" x14ac:dyDescent="0.3">
      <c r="A9" s="1" t="s">
        <v>39</v>
      </c>
      <c r="B9" s="2" t="s">
        <v>143</v>
      </c>
      <c r="C9" s="9">
        <v>30000</v>
      </c>
      <c r="D9" s="9">
        <v>39000</v>
      </c>
      <c r="E9" s="1" t="s">
        <v>50</v>
      </c>
      <c r="F9" s="1" t="s">
        <v>57</v>
      </c>
      <c r="G9" s="3">
        <v>0.98799999999999999</v>
      </c>
      <c r="H9" s="1" t="s">
        <v>63</v>
      </c>
      <c r="I9" s="1" t="s">
        <v>69</v>
      </c>
      <c r="J9" s="1" t="s">
        <v>71</v>
      </c>
      <c r="K9" s="1" t="s">
        <v>73</v>
      </c>
      <c r="L9" s="5">
        <v>370000</v>
      </c>
      <c r="M9" s="5">
        <v>310000</v>
      </c>
    </row>
    <row r="10" spans="1:13" ht="96.6" x14ac:dyDescent="0.3">
      <c r="A10" s="1" t="s">
        <v>40</v>
      </c>
      <c r="B10" s="2" t="s">
        <v>143</v>
      </c>
      <c r="C10" s="9">
        <v>36000</v>
      </c>
      <c r="D10" s="9">
        <v>42900</v>
      </c>
      <c r="E10" s="1" t="s">
        <v>50</v>
      </c>
      <c r="F10" s="1" t="s">
        <v>57</v>
      </c>
      <c r="G10" s="3">
        <v>0.98799999999999999</v>
      </c>
      <c r="H10" s="1" t="s">
        <v>63</v>
      </c>
      <c r="I10" s="1" t="s">
        <v>69</v>
      </c>
      <c r="J10" s="1" t="s">
        <v>71</v>
      </c>
      <c r="K10" s="1" t="s">
        <v>73</v>
      </c>
      <c r="L10" s="5">
        <v>410000</v>
      </c>
      <c r="M10" s="5">
        <v>340000</v>
      </c>
    </row>
    <row r="11" spans="1:13" ht="110.4" x14ac:dyDescent="0.3">
      <c r="A11" s="1" t="s">
        <v>41</v>
      </c>
      <c r="B11" s="2" t="s">
        <v>144</v>
      </c>
      <c r="C11" s="9">
        <v>50000</v>
      </c>
      <c r="D11" s="9">
        <v>65000</v>
      </c>
      <c r="E11" s="1" t="s">
        <v>50</v>
      </c>
      <c r="F11" s="1" t="s">
        <v>58</v>
      </c>
      <c r="G11" s="3">
        <v>0.98699999999999999</v>
      </c>
      <c r="H11" s="1" t="s">
        <v>64</v>
      </c>
      <c r="I11" s="1" t="s">
        <v>69</v>
      </c>
      <c r="J11" s="1" t="s">
        <v>71</v>
      </c>
      <c r="K11" s="1" t="s">
        <v>73</v>
      </c>
      <c r="L11" s="5">
        <v>440000</v>
      </c>
      <c r="M11" s="5">
        <v>370000</v>
      </c>
    </row>
    <row r="12" spans="1:13" ht="110.4" x14ac:dyDescent="0.3">
      <c r="A12" s="1" t="s">
        <v>42</v>
      </c>
      <c r="B12" s="2" t="s">
        <v>144</v>
      </c>
      <c r="C12" s="9">
        <v>60000</v>
      </c>
      <c r="D12" s="9">
        <v>80000</v>
      </c>
      <c r="E12" s="1" t="s">
        <v>50</v>
      </c>
      <c r="F12" s="1" t="s">
        <v>58</v>
      </c>
      <c r="G12" s="3">
        <v>0.98799999999999999</v>
      </c>
      <c r="H12" s="1" t="s">
        <v>64</v>
      </c>
      <c r="I12" s="1" t="s">
        <v>69</v>
      </c>
      <c r="J12" s="1" t="s">
        <v>71</v>
      </c>
      <c r="K12" s="1" t="s">
        <v>73</v>
      </c>
      <c r="L12" s="5">
        <v>480000</v>
      </c>
      <c r="M12" s="5">
        <v>410000</v>
      </c>
    </row>
    <row r="13" spans="1:13" ht="110.4" x14ac:dyDescent="0.3">
      <c r="A13" s="1" t="s">
        <v>43</v>
      </c>
      <c r="B13" s="2" t="s">
        <v>144</v>
      </c>
      <c r="C13" s="9">
        <v>80000</v>
      </c>
      <c r="D13" s="9">
        <v>120000</v>
      </c>
      <c r="E13" s="1" t="s">
        <v>50</v>
      </c>
      <c r="F13" s="1" t="s">
        <v>58</v>
      </c>
      <c r="G13" s="3">
        <v>0.98799999999999999</v>
      </c>
      <c r="H13" s="1" t="s">
        <v>64</v>
      </c>
      <c r="I13" s="1" t="s">
        <v>69</v>
      </c>
      <c r="J13" s="1" t="s">
        <v>71</v>
      </c>
      <c r="K13" s="1" t="s">
        <v>73</v>
      </c>
      <c r="L13" s="5">
        <v>650000</v>
      </c>
      <c r="M13" s="5">
        <v>540000</v>
      </c>
    </row>
    <row r="14" spans="1:13" ht="110.4" x14ac:dyDescent="0.3">
      <c r="A14" s="1" t="s">
        <v>44</v>
      </c>
      <c r="B14" s="2" t="s">
        <v>144</v>
      </c>
      <c r="C14" s="9">
        <v>100000</v>
      </c>
      <c r="D14" s="9">
        <v>150000</v>
      </c>
      <c r="E14" s="1" t="s">
        <v>50</v>
      </c>
      <c r="F14" s="1" t="s">
        <v>59</v>
      </c>
      <c r="G14" s="3">
        <v>0.98599999999999999</v>
      </c>
      <c r="H14" s="1" t="s">
        <v>65</v>
      </c>
      <c r="I14" s="1" t="s">
        <v>69</v>
      </c>
      <c r="J14" s="1" t="s">
        <v>71</v>
      </c>
      <c r="K14" s="1" t="s">
        <v>73</v>
      </c>
      <c r="L14" s="5">
        <v>780000</v>
      </c>
      <c r="M14" s="5">
        <v>690000</v>
      </c>
    </row>
    <row r="15" spans="1:13" ht="110.4" x14ac:dyDescent="0.3">
      <c r="A15" s="1" t="s">
        <v>45</v>
      </c>
      <c r="B15" s="2" t="s">
        <v>145</v>
      </c>
      <c r="C15" s="9">
        <v>120000</v>
      </c>
      <c r="D15" s="9">
        <v>180000</v>
      </c>
      <c r="E15" s="1" t="s">
        <v>50</v>
      </c>
      <c r="F15" s="1" t="s">
        <v>59</v>
      </c>
      <c r="G15" s="3">
        <v>0.98599999999999999</v>
      </c>
      <c r="H15" s="1" t="s">
        <v>66</v>
      </c>
      <c r="I15" s="1" t="s">
        <v>69</v>
      </c>
      <c r="J15" s="1" t="s">
        <v>71</v>
      </c>
      <c r="K15" s="1" t="s">
        <v>73</v>
      </c>
      <c r="L15" s="5">
        <v>780000</v>
      </c>
      <c r="M15" s="5">
        <v>690000</v>
      </c>
    </row>
    <row r="16" spans="1:13" ht="110.4" x14ac:dyDescent="0.3">
      <c r="A16" s="1" t="s">
        <v>46</v>
      </c>
      <c r="B16" s="2" t="s">
        <v>145</v>
      </c>
      <c r="C16" s="9">
        <v>136000</v>
      </c>
      <c r="D16" s="9">
        <v>205000</v>
      </c>
      <c r="E16" s="1" t="s">
        <v>51</v>
      </c>
      <c r="F16" s="1" t="s">
        <v>59</v>
      </c>
      <c r="G16" s="3">
        <v>0.99</v>
      </c>
      <c r="H16" s="1" t="s">
        <v>66</v>
      </c>
      <c r="I16" s="1" t="s">
        <v>69</v>
      </c>
      <c r="J16" s="1" t="s">
        <v>71</v>
      </c>
      <c r="K16" s="1" t="s">
        <v>73</v>
      </c>
      <c r="L16" s="5">
        <v>810000</v>
      </c>
      <c r="M16" s="5">
        <v>710000</v>
      </c>
    </row>
    <row r="17" spans="1:13" ht="110.4" x14ac:dyDescent="0.3">
      <c r="A17" s="1" t="s">
        <v>47</v>
      </c>
      <c r="B17" s="2" t="s">
        <v>145</v>
      </c>
      <c r="C17" s="9">
        <v>250000</v>
      </c>
      <c r="D17" s="9">
        <v>300000</v>
      </c>
      <c r="E17" s="1" t="s">
        <v>52</v>
      </c>
      <c r="F17" s="1" t="s">
        <v>59</v>
      </c>
      <c r="G17" s="3">
        <v>0.99</v>
      </c>
      <c r="H17" s="1" t="s">
        <v>66</v>
      </c>
      <c r="I17" s="1" t="s">
        <v>69</v>
      </c>
      <c r="J17" s="1" t="s">
        <v>71</v>
      </c>
      <c r="K17" s="1" t="s">
        <v>73</v>
      </c>
      <c r="L17" s="5">
        <v>1360000</v>
      </c>
      <c r="M17" s="5">
        <v>1196000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F5"/>
  <sheetViews>
    <sheetView workbookViewId="0">
      <selection activeCell="C12" sqref="C12"/>
    </sheetView>
  </sheetViews>
  <sheetFormatPr defaultColWidth="8.88671875" defaultRowHeight="13.8" x14ac:dyDescent="0.3"/>
  <cols>
    <col min="1" max="1" width="32" style="7" bestFit="1" customWidth="1"/>
    <col min="2" max="2" width="16.5546875" style="7" bestFit="1" customWidth="1"/>
    <col min="3" max="3" width="23.33203125" style="7" bestFit="1" customWidth="1"/>
    <col min="4" max="4" width="24.33203125" style="7" bestFit="1" customWidth="1"/>
    <col min="5" max="5" width="27" style="7" bestFit="1" customWidth="1"/>
    <col min="6" max="6" width="83" style="7" bestFit="1" customWidth="1"/>
    <col min="7" max="16384" width="8.88671875" style="7"/>
  </cols>
  <sheetData>
    <row r="1" spans="1:6" x14ac:dyDescent="0.3">
      <c r="A1" s="8" t="s">
        <v>84</v>
      </c>
      <c r="B1" s="1" t="s">
        <v>85</v>
      </c>
      <c r="C1" s="1" t="s">
        <v>86</v>
      </c>
      <c r="D1" s="1" t="s">
        <v>87</v>
      </c>
      <c r="E1" s="1" t="s">
        <v>88</v>
      </c>
      <c r="F1" s="1" t="s">
        <v>140</v>
      </c>
    </row>
    <row r="2" spans="1:6" x14ac:dyDescent="0.3">
      <c r="A2" s="8" t="s">
        <v>89</v>
      </c>
      <c r="B2" s="1" t="s">
        <v>91</v>
      </c>
      <c r="C2" s="5">
        <v>16800</v>
      </c>
      <c r="D2" s="5">
        <v>15600</v>
      </c>
      <c r="E2" s="5">
        <v>15000</v>
      </c>
      <c r="F2" s="43" t="s">
        <v>146</v>
      </c>
    </row>
    <row r="3" spans="1:6" x14ac:dyDescent="0.3">
      <c r="A3" s="8" t="s">
        <v>90</v>
      </c>
      <c r="B3" s="1" t="s">
        <v>91</v>
      </c>
      <c r="C3" s="5">
        <v>10400</v>
      </c>
      <c r="D3" s="5">
        <v>9800</v>
      </c>
      <c r="E3" s="5">
        <v>9400</v>
      </c>
      <c r="F3" s="43" t="s">
        <v>147</v>
      </c>
    </row>
    <row r="4" spans="1:6" x14ac:dyDescent="0.3">
      <c r="A4" s="8" t="s">
        <v>160</v>
      </c>
      <c r="B4" s="1" t="s">
        <v>92</v>
      </c>
      <c r="C4" s="5" t="s">
        <v>81</v>
      </c>
      <c r="D4" s="5">
        <v>30000</v>
      </c>
      <c r="E4" s="5">
        <v>25800</v>
      </c>
      <c r="F4" s="43" t="s">
        <v>148</v>
      </c>
    </row>
    <row r="5" spans="1:6" x14ac:dyDescent="0.3">
      <c r="A5" s="8"/>
      <c r="B5" s="1"/>
      <c r="C5" s="5"/>
      <c r="D5" s="5"/>
      <c r="E5" s="5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E9"/>
  <sheetViews>
    <sheetView workbookViewId="0">
      <selection activeCell="J15" sqref="J15"/>
    </sheetView>
  </sheetViews>
  <sheetFormatPr defaultColWidth="8.88671875" defaultRowHeight="13.8" x14ac:dyDescent="0.3"/>
  <cols>
    <col min="1" max="1" width="28.109375" style="8" bestFit="1" customWidth="1"/>
    <col min="2" max="2" width="10.6640625" style="1" bestFit="1" customWidth="1"/>
    <col min="3" max="3" width="16.88671875" style="1" bestFit="1" customWidth="1"/>
    <col min="4" max="4" width="9.6640625" style="1" bestFit="1" customWidth="1"/>
    <col min="5" max="5" width="12.33203125" style="1" bestFit="1" customWidth="1"/>
    <col min="6" max="16384" width="8.88671875" style="1"/>
  </cols>
  <sheetData>
    <row r="1" spans="1:5" x14ac:dyDescent="0.3">
      <c r="A1" s="8" t="s">
        <v>93</v>
      </c>
      <c r="B1" s="1" t="s">
        <v>94</v>
      </c>
      <c r="C1" s="1" t="s">
        <v>95</v>
      </c>
      <c r="D1" s="1" t="s">
        <v>96</v>
      </c>
      <c r="E1" s="1" t="s">
        <v>97</v>
      </c>
    </row>
    <row r="2" spans="1:5" x14ac:dyDescent="0.3">
      <c r="A2" s="8" t="s">
        <v>98</v>
      </c>
      <c r="B2" s="1" t="s">
        <v>102</v>
      </c>
      <c r="C2" s="5">
        <v>400000</v>
      </c>
      <c r="D2" s="1" t="s">
        <v>108</v>
      </c>
    </row>
    <row r="3" spans="1:5" x14ac:dyDescent="0.3">
      <c r="A3" s="8" t="s">
        <v>98</v>
      </c>
      <c r="B3" s="1" t="s">
        <v>101</v>
      </c>
      <c r="C3" s="5">
        <v>860000</v>
      </c>
      <c r="D3" s="1" t="s">
        <v>109</v>
      </c>
    </row>
    <row r="4" spans="1:5" x14ac:dyDescent="0.3">
      <c r="A4" s="8" t="s">
        <v>98</v>
      </c>
      <c r="B4" s="1" t="s">
        <v>103</v>
      </c>
      <c r="C4" s="5">
        <v>1800000</v>
      </c>
      <c r="D4" s="1" t="s">
        <v>110</v>
      </c>
    </row>
    <row r="5" spans="1:5" x14ac:dyDescent="0.3">
      <c r="A5" s="8" t="s">
        <v>99</v>
      </c>
      <c r="B5" s="1" t="s">
        <v>104</v>
      </c>
      <c r="C5" s="5">
        <v>700000</v>
      </c>
      <c r="D5" s="1" t="s">
        <v>111</v>
      </c>
    </row>
    <row r="6" spans="1:5" x14ac:dyDescent="0.3">
      <c r="A6" s="8" t="s">
        <v>99</v>
      </c>
      <c r="B6" s="1" t="s">
        <v>105</v>
      </c>
      <c r="C6" s="5">
        <v>1400000</v>
      </c>
      <c r="D6" s="1" t="s">
        <v>112</v>
      </c>
    </row>
    <row r="7" spans="1:5" x14ac:dyDescent="0.3">
      <c r="A7" s="8" t="s">
        <v>99</v>
      </c>
      <c r="B7" s="1" t="s">
        <v>106</v>
      </c>
      <c r="C7" s="5">
        <v>2740000</v>
      </c>
      <c r="D7" s="1" t="s">
        <v>113</v>
      </c>
    </row>
    <row r="8" spans="1:5" x14ac:dyDescent="0.3">
      <c r="A8" s="8" t="s">
        <v>99</v>
      </c>
      <c r="B8" s="1" t="s">
        <v>107</v>
      </c>
      <c r="C8" s="5">
        <v>5290000</v>
      </c>
      <c r="D8" s="1" t="s">
        <v>114</v>
      </c>
    </row>
    <row r="9" spans="1:5" x14ac:dyDescent="0.3">
      <c r="A9" s="8" t="s">
        <v>100</v>
      </c>
      <c r="C9" s="5">
        <v>160000</v>
      </c>
      <c r="D9" s="1" t="s">
        <v>115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F3"/>
  <sheetViews>
    <sheetView workbookViewId="0">
      <selection activeCell="J1" sqref="J1"/>
    </sheetView>
  </sheetViews>
  <sheetFormatPr defaultColWidth="8.88671875" defaultRowHeight="13.8" x14ac:dyDescent="0.3"/>
  <cols>
    <col min="1" max="1" width="28.33203125" style="8" bestFit="1" customWidth="1"/>
    <col min="2" max="2" width="11.88671875" style="1" bestFit="1" customWidth="1"/>
    <col min="3" max="3" width="14" style="1" bestFit="1" customWidth="1"/>
    <col min="4" max="4" width="12" style="1" bestFit="1" customWidth="1"/>
    <col min="5" max="5" width="13.44140625" style="1" bestFit="1" customWidth="1"/>
    <col min="6" max="6" width="60.88671875" style="1" bestFit="1" customWidth="1"/>
    <col min="7" max="16384" width="8.88671875" style="1"/>
  </cols>
  <sheetData>
    <row r="1" spans="1:6" x14ac:dyDescent="0.3">
      <c r="A1" s="8" t="s">
        <v>116</v>
      </c>
      <c r="B1" s="1" t="s">
        <v>124</v>
      </c>
      <c r="C1" s="1" t="s">
        <v>117</v>
      </c>
      <c r="D1" s="1" t="s">
        <v>118</v>
      </c>
      <c r="E1" s="1" t="s">
        <v>85</v>
      </c>
      <c r="F1" s="1" t="s">
        <v>140</v>
      </c>
    </row>
    <row r="2" spans="1:6" ht="24" x14ac:dyDescent="0.3">
      <c r="A2" s="8" t="s">
        <v>119</v>
      </c>
      <c r="B2" s="1" t="s">
        <v>125</v>
      </c>
      <c r="C2" s="1">
        <v>90</v>
      </c>
      <c r="D2" s="1">
        <v>67</v>
      </c>
      <c r="E2" s="1" t="s">
        <v>120</v>
      </c>
      <c r="F2" s="44" t="s">
        <v>149</v>
      </c>
    </row>
    <row r="3" spans="1:6" x14ac:dyDescent="0.25">
      <c r="A3" s="8" t="s">
        <v>119</v>
      </c>
      <c r="B3" s="1" t="s">
        <v>126</v>
      </c>
      <c r="C3" s="1">
        <v>132</v>
      </c>
      <c r="D3" s="1">
        <v>98</v>
      </c>
      <c r="E3" s="1" t="s">
        <v>120</v>
      </c>
      <c r="F3" s="4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/>
  <dimension ref="A1:Q20"/>
  <sheetViews>
    <sheetView workbookViewId="0">
      <selection activeCell="J4" sqref="J4"/>
    </sheetView>
  </sheetViews>
  <sheetFormatPr defaultRowHeight="14.4" x14ac:dyDescent="0.3"/>
  <cols>
    <col min="1" max="1" width="13.109375" bestFit="1" customWidth="1"/>
    <col min="2" max="2" width="11.5546875" style="10" bestFit="1" customWidth="1"/>
    <col min="4" max="4" width="18.88671875" bestFit="1" customWidth="1"/>
    <col min="5" max="5" width="19.44140625" bestFit="1" customWidth="1"/>
    <col min="6" max="6" width="13.109375" bestFit="1" customWidth="1"/>
    <col min="7" max="7" width="8.5546875" bestFit="1" customWidth="1"/>
    <col min="8" max="8" width="13.6640625" bestFit="1" customWidth="1"/>
    <col min="10" max="10" width="18.88671875" bestFit="1" customWidth="1"/>
    <col min="11" max="11" width="19.44140625" bestFit="1" customWidth="1"/>
    <col min="12" max="12" width="20.33203125" bestFit="1" customWidth="1"/>
    <col min="13" max="13" width="20.88671875" customWidth="1"/>
    <col min="14" max="14" width="9.5546875" bestFit="1" customWidth="1"/>
    <col min="15" max="15" width="14.6640625" customWidth="1"/>
    <col min="16" max="16" width="15.109375" bestFit="1" customWidth="1"/>
    <col min="17" max="17" width="4.5546875" bestFit="1" customWidth="1"/>
  </cols>
  <sheetData>
    <row r="1" spans="1:17" ht="15" thickBot="1" x14ac:dyDescent="0.35">
      <c r="A1" s="16" t="s">
        <v>127</v>
      </c>
      <c r="B1" s="17">
        <v>5000</v>
      </c>
      <c r="D1" s="53" t="s">
        <v>128</v>
      </c>
      <c r="E1" s="54"/>
      <c r="F1" s="54"/>
      <c r="G1" s="54"/>
      <c r="H1" s="55"/>
      <c r="J1" s="53" t="s">
        <v>99</v>
      </c>
      <c r="K1" s="54"/>
      <c r="L1" s="54"/>
      <c r="M1" s="54"/>
      <c r="N1" s="54"/>
      <c r="O1" s="55"/>
    </row>
    <row r="2" spans="1:17" x14ac:dyDescent="0.3">
      <c r="D2" s="51" t="s">
        <v>130</v>
      </c>
      <c r="E2" s="52"/>
      <c r="F2" s="56" t="s">
        <v>129</v>
      </c>
      <c r="G2" s="47" t="s">
        <v>131</v>
      </c>
      <c r="H2" s="48"/>
      <c r="J2" s="51" t="s">
        <v>130</v>
      </c>
      <c r="K2" s="52"/>
      <c r="L2" s="59" t="s">
        <v>129</v>
      </c>
      <c r="M2" s="60"/>
      <c r="N2" s="47" t="s">
        <v>131</v>
      </c>
      <c r="O2" s="48"/>
      <c r="P2" s="47" t="s">
        <v>136</v>
      </c>
      <c r="Q2" s="48"/>
    </row>
    <row r="3" spans="1:17" x14ac:dyDescent="0.3">
      <c r="D3" s="24" t="s">
        <v>132</v>
      </c>
      <c r="E3" s="14" t="s">
        <v>133</v>
      </c>
      <c r="F3" s="52"/>
      <c r="G3" s="49"/>
      <c r="H3" s="50"/>
      <c r="J3" s="24" t="s">
        <v>132</v>
      </c>
      <c r="K3" s="14" t="s">
        <v>133</v>
      </c>
      <c r="L3" s="24" t="s">
        <v>134</v>
      </c>
      <c r="M3" s="14" t="s">
        <v>135</v>
      </c>
      <c r="N3" s="49"/>
      <c r="O3" s="50"/>
      <c r="P3" s="49"/>
      <c r="Q3" s="50"/>
    </row>
    <row r="4" spans="1:17" x14ac:dyDescent="0.3">
      <c r="D4" s="41">
        <v>0</v>
      </c>
      <c r="E4" s="38">
        <v>100000</v>
      </c>
      <c r="F4" s="14">
        <v>250000</v>
      </c>
      <c r="G4" s="25"/>
      <c r="H4" s="21"/>
      <c r="J4" s="34">
        <v>0</v>
      </c>
      <c r="K4" s="35">
        <v>50000</v>
      </c>
      <c r="L4" s="14">
        <v>0</v>
      </c>
      <c r="M4" s="14">
        <v>700000</v>
      </c>
      <c r="N4" s="14">
        <f xml:space="preserve"> ($M$4 - $L$4) / ($K$4 - $J$4)</f>
        <v>14</v>
      </c>
      <c r="O4" s="39">
        <f xml:space="preserve"> $M$5 - ($M$5 - $L$4) / ($K$4 - $J$4) * $K$4</f>
        <v>0</v>
      </c>
      <c r="P4" s="25" t="s">
        <v>137</v>
      </c>
      <c r="Q4" s="19">
        <v>0.25</v>
      </c>
    </row>
    <row r="5" spans="1:17" ht="15" thickBot="1" x14ac:dyDescent="0.35">
      <c r="D5" s="41">
        <v>100000</v>
      </c>
      <c r="E5" s="38">
        <v>200000</v>
      </c>
      <c r="F5" s="14">
        <v>400000</v>
      </c>
      <c r="G5" s="25"/>
      <c r="H5" s="21"/>
      <c r="J5" s="34">
        <v>50000</v>
      </c>
      <c r="K5" s="35">
        <v>100000</v>
      </c>
      <c r="L5" s="14">
        <v>700000</v>
      </c>
      <c r="M5" s="14">
        <v>1400000</v>
      </c>
      <c r="N5" s="14">
        <f xml:space="preserve"> ($M$5 - $L$5) / ($K$5 - $J$5)</f>
        <v>14</v>
      </c>
      <c r="O5" s="39">
        <f xml:space="preserve"> $M$5 - ($M$5 - $L$5) / ($K$5 - $J$5) * $K$5</f>
        <v>0</v>
      </c>
      <c r="P5" s="30" t="s">
        <v>138</v>
      </c>
      <c r="Q5" s="20">
        <v>0.3</v>
      </c>
    </row>
    <row r="6" spans="1:17" x14ac:dyDescent="0.3">
      <c r="D6" s="41">
        <v>200000</v>
      </c>
      <c r="E6" s="38">
        <v>1000000</v>
      </c>
      <c r="F6" s="14">
        <v>400000</v>
      </c>
      <c r="G6" s="14">
        <f xml:space="preserve"> ($F$7 - $F$6) / ($E$6 - $D$6)</f>
        <v>0.57499999999999996</v>
      </c>
      <c r="H6" s="39">
        <f xml:space="preserve"> $F$7 - ($F$7 - $F$6) / ($E$6 - $D$6) * $E$6</f>
        <v>285000</v>
      </c>
      <c r="J6" s="34">
        <v>100000</v>
      </c>
      <c r="K6" s="35">
        <v>200000</v>
      </c>
      <c r="L6" s="14">
        <v>1400000</v>
      </c>
      <c r="M6" s="14">
        <v>2740000</v>
      </c>
      <c r="N6" s="14">
        <f xml:space="preserve"> ($M$6 - $L$6) / ($K$6 - $J$6)</f>
        <v>13.4</v>
      </c>
      <c r="O6" s="39">
        <f>$M$6 - ($M$6 - $L$6) / ($K$6 - $J$6) * $K$6</f>
        <v>60000</v>
      </c>
    </row>
    <row r="7" spans="1:17" x14ac:dyDescent="0.3">
      <c r="D7" s="41">
        <v>1000000</v>
      </c>
      <c r="E7" s="38">
        <v>10000000</v>
      </c>
      <c r="F7" s="14">
        <v>860000</v>
      </c>
      <c r="G7" s="14">
        <f xml:space="preserve"> ($F$8 - $F$7) / ($E$7 - $D$7)</f>
        <v>0.10444444444444445</v>
      </c>
      <c r="H7" s="39">
        <f xml:space="preserve"> $F$8 - ($F$8 - $F$7) / ($E$7 - $D$7) * $E$7</f>
        <v>755555.5555555555</v>
      </c>
      <c r="J7" s="34">
        <v>200000</v>
      </c>
      <c r="K7" s="35">
        <v>500000</v>
      </c>
      <c r="L7" s="14">
        <v>2740000</v>
      </c>
      <c r="M7" s="14">
        <v>5290000</v>
      </c>
      <c r="N7" s="14">
        <f xml:space="preserve"> ($M$7 - $L$7) / ($K$7 - $J$7)</f>
        <v>8.5</v>
      </c>
      <c r="O7" s="39">
        <f xml:space="preserve"> $M$7 - ($M$7 - $L$7) / ($K$7 - $J$7) * $K$7</f>
        <v>1040000</v>
      </c>
    </row>
    <row r="8" spans="1:17" ht="15" thickBot="1" x14ac:dyDescent="0.35">
      <c r="D8" s="42">
        <v>10000000</v>
      </c>
      <c r="E8" s="13" t="s">
        <v>81</v>
      </c>
      <c r="F8" s="15">
        <v>1800000</v>
      </c>
      <c r="G8" s="26"/>
      <c r="H8" s="22"/>
      <c r="J8" s="36">
        <v>500000</v>
      </c>
      <c r="K8" s="37">
        <v>10000000</v>
      </c>
      <c r="L8" s="15">
        <v>5290000</v>
      </c>
      <c r="M8" s="15">
        <v>52900000</v>
      </c>
      <c r="N8" s="15">
        <f xml:space="preserve"> ($M$8 - $L$8) / ($K$8 - $J$8)</f>
        <v>5.0115789473684211</v>
      </c>
      <c r="O8" s="40">
        <f xml:space="preserve"> $M$8 - ($M$8 - $L$8) / ($K$8- $J$8) * $K$8</f>
        <v>2784210.5263157859</v>
      </c>
    </row>
    <row r="9" spans="1:17" x14ac:dyDescent="0.3">
      <c r="J9" s="11"/>
      <c r="K9" s="11"/>
      <c r="L9" s="27"/>
      <c r="M9" s="27"/>
      <c r="N9" s="28"/>
      <c r="O9" s="28"/>
    </row>
    <row r="13" spans="1:17" x14ac:dyDescent="0.3">
      <c r="N13" s="18"/>
      <c r="O13" s="29"/>
    </row>
    <row r="14" spans="1:17" ht="15" thickBot="1" x14ac:dyDescent="0.35"/>
    <row r="15" spans="1:17" ht="15" thickBot="1" x14ac:dyDescent="0.35">
      <c r="A15" s="57" t="s">
        <v>100</v>
      </c>
      <c r="B15" s="58"/>
    </row>
    <row r="16" spans="1:17" x14ac:dyDescent="0.3">
      <c r="A16" s="32" t="s">
        <v>129</v>
      </c>
      <c r="B16" s="33">
        <v>120000</v>
      </c>
    </row>
    <row r="17" spans="1:15" ht="15" thickBot="1" x14ac:dyDescent="0.35">
      <c r="A17" s="12" t="s">
        <v>139</v>
      </c>
      <c r="B17" s="31">
        <v>20000</v>
      </c>
    </row>
    <row r="19" spans="1:15" x14ac:dyDescent="0.3">
      <c r="O19" s="23"/>
    </row>
    <row r="20" spans="1:15" x14ac:dyDescent="0.3">
      <c r="O20" s="23"/>
    </row>
  </sheetData>
  <mergeCells count="10">
    <mergeCell ref="A15:B15"/>
    <mergeCell ref="J1:O1"/>
    <mergeCell ref="J2:K2"/>
    <mergeCell ref="N2:O3"/>
    <mergeCell ref="L2:M2"/>
    <mergeCell ref="P2:Q3"/>
    <mergeCell ref="D2:E2"/>
    <mergeCell ref="D1:H1"/>
    <mergeCell ref="F2:F3"/>
    <mergeCell ref="G2:H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7"/>
  <dimension ref="A1:I11"/>
  <sheetViews>
    <sheetView workbookViewId="0">
      <selection activeCell="K13" sqref="K13"/>
    </sheetView>
  </sheetViews>
  <sheetFormatPr defaultColWidth="9.109375" defaultRowHeight="14.4" x14ac:dyDescent="0.3"/>
  <cols>
    <col min="1" max="1" width="29.88671875" style="45" bestFit="1" customWidth="1"/>
    <col min="2" max="2" width="8" style="45" bestFit="1" customWidth="1"/>
    <col min="3" max="4" width="5" style="45" bestFit="1" customWidth="1"/>
    <col min="5" max="5" width="9.109375" style="45"/>
    <col min="6" max="6" width="7" style="45" bestFit="1" customWidth="1"/>
    <col min="7" max="7" width="32.109375" style="45" bestFit="1" customWidth="1"/>
    <col min="8" max="8" width="12.77734375" style="45" bestFit="1" customWidth="1"/>
    <col min="9" max="9" width="9.109375" style="45"/>
    <col min="10" max="10" width="8" style="45" bestFit="1" customWidth="1"/>
    <col min="11" max="16384" width="9.109375" style="45"/>
  </cols>
  <sheetData>
    <row r="1" spans="1:9" x14ac:dyDescent="0.3">
      <c r="A1" s="61" t="s">
        <v>150</v>
      </c>
      <c r="B1" s="61"/>
      <c r="G1" s="61" t="s">
        <v>151</v>
      </c>
      <c r="H1" s="61"/>
    </row>
    <row r="2" spans="1:9" x14ac:dyDescent="0.3">
      <c r="A2" s="45" t="s">
        <v>152</v>
      </c>
      <c r="B2" s="45">
        <v>101370</v>
      </c>
      <c r="G2" s="45" t="s">
        <v>154</v>
      </c>
      <c r="H2" s="46">
        <v>3695820</v>
      </c>
    </row>
    <row r="3" spans="1:9" x14ac:dyDescent="0.3">
      <c r="A3" s="45" t="s">
        <v>153</v>
      </c>
      <c r="B3" s="45">
        <v>100000</v>
      </c>
      <c r="G3" s="45" t="s">
        <v>155</v>
      </c>
      <c r="H3" s="46">
        <v>780000</v>
      </c>
    </row>
    <row r="4" spans="1:9" x14ac:dyDescent="0.3">
      <c r="A4" s="45" t="s">
        <v>156</v>
      </c>
      <c r="B4" s="45">
        <v>1621.92</v>
      </c>
      <c r="C4" s="45">
        <f xml:space="preserve"> MROUND($B$4, 100)</f>
        <v>1600</v>
      </c>
      <c r="D4" s="45">
        <f xml:space="preserve"> MROUND($B$4, 500)</f>
        <v>1500</v>
      </c>
      <c r="G4" s="45" t="s">
        <v>157</v>
      </c>
      <c r="H4" s="46">
        <v>135000</v>
      </c>
    </row>
    <row r="5" spans="1:9" x14ac:dyDescent="0.3">
      <c r="G5" s="45" t="s">
        <v>158</v>
      </c>
      <c r="H5" s="46">
        <v>15000</v>
      </c>
    </row>
    <row r="6" spans="1:9" x14ac:dyDescent="0.3">
      <c r="G6" s="45" t="s">
        <v>128</v>
      </c>
      <c r="H6" s="46">
        <v>400000</v>
      </c>
    </row>
    <row r="7" spans="1:9" x14ac:dyDescent="0.3">
      <c r="G7" s="45" t="s">
        <v>99</v>
      </c>
      <c r="H7" s="46">
        <v>992850.6</v>
      </c>
    </row>
    <row r="8" spans="1:9" x14ac:dyDescent="0.3">
      <c r="G8" s="45" t="s">
        <v>100</v>
      </c>
      <c r="H8" s="46">
        <v>320000</v>
      </c>
    </row>
    <row r="9" spans="1:9" x14ac:dyDescent="0.3">
      <c r="G9" s="45" t="s">
        <v>159</v>
      </c>
      <c r="H9" s="46">
        <v>6819271</v>
      </c>
    </row>
    <row r="11" spans="1:9" x14ac:dyDescent="0.3">
      <c r="I11" s="45">
        <v>21000</v>
      </c>
    </row>
  </sheetData>
  <mergeCells count="2">
    <mergeCell ref="A1:B1"/>
    <mergeCell ref="G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Лист1</vt:lpstr>
      <vt:lpstr>Панели</vt:lpstr>
      <vt:lpstr>Инверторы</vt:lpstr>
      <vt:lpstr>Крепления</vt:lpstr>
      <vt:lpstr>Услуги</vt:lpstr>
      <vt:lpstr>Солнечный кабель</vt:lpstr>
      <vt:lpstr>Прочие цены</vt:lpstr>
      <vt:lpstr>Расчёт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Дмитрий Грабовский</cp:lastModifiedBy>
  <dcterms:created xsi:type="dcterms:W3CDTF">2015-06-05T18:19:34Z</dcterms:created>
  <dcterms:modified xsi:type="dcterms:W3CDTF">2022-04-29T08:07:02Z</dcterms:modified>
</cp:coreProperties>
</file>